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saac\Desktop\"/>
    </mc:Choice>
  </mc:AlternateContent>
  <bookViews>
    <workbookView xWindow="-108" yWindow="-108" windowWidth="19416" windowHeight="10296"/>
  </bookViews>
  <sheets>
    <sheet name="macro notas" sheetId="2" r:id="rId1"/>
    <sheet name="4TO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3" l="1"/>
  <c r="E8" i="3"/>
  <c r="C7" i="3"/>
  <c r="F6" i="3"/>
  <c r="E6" i="3"/>
  <c r="F5" i="3"/>
  <c r="E5" i="3"/>
  <c r="F4" i="3"/>
  <c r="E4" i="3"/>
  <c r="F3" i="3"/>
  <c r="E3" i="3"/>
  <c r="H11" i="2"/>
  <c r="F11" i="2"/>
  <c r="D11" i="2"/>
  <c r="F7" i="3"/>
  <c r="E7" i="3"/>
  <c r="E9" i="3"/>
  <c r="D14" i="2" l="1"/>
  <c r="E14" i="2" s="1"/>
  <c r="I15" i="2"/>
  <c r="H15" i="2" s="1"/>
</calcChain>
</file>

<file path=xl/sharedStrings.xml><?xml version="1.0" encoding="utf-8"?>
<sst xmlns="http://schemas.openxmlformats.org/spreadsheetml/2006/main" count="34" uniqueCount="26">
  <si>
    <t xml:space="preserve">PRIMER PARCIAL </t>
  </si>
  <si>
    <t xml:space="preserve">SEGUNDO PARCIAL </t>
  </si>
  <si>
    <t>NOTA SOBRE 20</t>
  </si>
  <si>
    <t xml:space="preserve">EXAMEN FINAL </t>
  </si>
  <si>
    <t>NOTA FINAL</t>
  </si>
  <si>
    <t xml:space="preserve"> </t>
  </si>
  <si>
    <t>NOTA SOBRE 7</t>
  </si>
  <si>
    <t>NOTA SOBRE 6</t>
  </si>
  <si>
    <t>CUANTO SACAR EN EL EXAMEN FINAL</t>
  </si>
  <si>
    <t>SOBRE 20</t>
  </si>
  <si>
    <t>Importante: Solo colocar las notas sobre 20 y PULSAR INICIAR</t>
  </si>
  <si>
    <t>Crado por Roberto P.</t>
  </si>
  <si>
    <t>TERCER NIVEL</t>
  </si>
  <si>
    <t xml:space="preserve">MATERIA </t>
  </si>
  <si>
    <t xml:space="preserve">1ER PARCIAL </t>
  </si>
  <si>
    <t xml:space="preserve">2DO PARCIAL </t>
  </si>
  <si>
    <t>NOTA NECESARIA</t>
  </si>
  <si>
    <t>BANNER</t>
  </si>
  <si>
    <t>Total</t>
  </si>
  <si>
    <t>CONTABILIDAD NACIONAL</t>
  </si>
  <si>
    <t>CALCULO INTEGRAL</t>
  </si>
  <si>
    <t>ESTADISTICA APLICADA</t>
  </si>
  <si>
    <t>ADMINISTRACION</t>
  </si>
  <si>
    <t>METODOLOGIA APLICADA</t>
  </si>
  <si>
    <t>ECONOMIA POLITICA</t>
  </si>
  <si>
    <t>EXAMEN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</si>
</sst>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10" x14ac:knownFonts="1"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4"/>
      <color rgb="FFF2F2F2"/>
      <name val="Calibri"/>
      <family val="2"/>
      <scheme val="minor"/>
    </font>
    <font>
      <b/>
      <sz val="16"/>
      <color rgb="FFF2F2F2"/>
      <name val="Calibri"/>
      <family val="2"/>
      <scheme val="minor"/>
    </font>
    <font>
      <sz val="11"/>
      <color rgb="FFF2F2F2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8"/>
      <color rgb="FF7F7F7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4" fillId="4" borderId="9" xfId="0" applyFont="1" applyFill="1" applyBorder="1" applyAlignment="1">
      <alignment horizontal="center" vertical="center"/>
    </xf>
    <xf numFmtId="2" fontId="5" fillId="4" borderId="11" xfId="0" applyNumberFormat="1" applyFont="1" applyFill="1" applyBorder="1" applyAlignment="1">
      <alignment horizontal="center" vertical="center"/>
    </xf>
    <xf numFmtId="2" fontId="5" fillId="4" borderId="1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7" xfId="0" applyFont="1" applyFill="1" applyBorder="1" applyAlignment="1">
      <alignment horizontal="center" vertical="center" wrapText="1"/>
    </xf>
    <xf numFmtId="2" fontId="1" fillId="3" borderId="7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2" fontId="1" fillId="5" borderId="8" xfId="0" applyNumberFormat="1" applyFont="1" applyFill="1" applyBorder="1" applyAlignment="1">
      <alignment horizontal="center" vertical="center"/>
    </xf>
    <xf numFmtId="2" fontId="1" fillId="5" borderId="7" xfId="0" applyNumberFormat="1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 wrapText="1"/>
    </xf>
    <xf numFmtId="2" fontId="1" fillId="6" borderId="7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left" vertical="top"/>
    </xf>
    <xf numFmtId="0" fontId="0" fillId="8" borderId="18" xfId="0" applyFill="1" applyBorder="1" applyAlignment="1">
      <alignment horizontal="center" vertical="center"/>
    </xf>
    <xf numFmtId="2" fontId="5" fillId="8" borderId="18" xfId="0" applyNumberFormat="1" applyFont="1" applyFill="1" applyBorder="1" applyAlignment="1">
      <alignment horizontal="center" vertical="center"/>
    </xf>
    <xf numFmtId="2" fontId="1" fillId="8" borderId="0" xfId="0" applyNumberFormat="1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2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8" fillId="8" borderId="17" xfId="0" applyFont="1" applyFill="1" applyBorder="1" applyAlignment="1">
      <alignment horizontal="left" vertical="top"/>
    </xf>
    <xf numFmtId="0" fontId="8" fillId="8" borderId="18" xfId="0" applyFont="1" applyFill="1" applyBorder="1" applyAlignment="1">
      <alignment horizontal="center" vertical="center"/>
    </xf>
    <xf numFmtId="2" fontId="1" fillId="2" borderId="16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2" fontId="9" fillId="8" borderId="19" xfId="0" applyNumberFormat="1" applyFont="1" applyFill="1" applyBorder="1" applyAlignment="1">
      <alignment horizontal="center" vertical="center"/>
    </xf>
    <xf numFmtId="0" fontId="0" fillId="0" borderId="22" xfId="0" applyBorder="1"/>
    <xf numFmtId="164" fontId="0" fillId="0" borderId="23" xfId="0" applyNumberFormat="1" applyBorder="1"/>
    <xf numFmtId="164" fontId="0" fillId="0" borderId="24" xfId="0" applyNumberFormat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64" fontId="0" fillId="0" borderId="25" xfId="0" applyNumberFormat="1" applyBorder="1"/>
    <xf numFmtId="2" fontId="1" fillId="8" borderId="0" xfId="0" applyNumberFormat="1" applyFont="1" applyFill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4" fillId="4" borderId="14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* #,##0.00_ ;_ * \-#,##0.00_ ;_ * &quot;-&quot;??_ ;_ @_ 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88706</xdr:colOff>
      <xdr:row>5</xdr:row>
      <xdr:rowOff>57151</xdr:rowOff>
    </xdr:from>
    <xdr:to>
      <xdr:col>8</xdr:col>
      <xdr:colOff>942976</xdr:colOff>
      <xdr:row>9</xdr:row>
      <xdr:rowOff>90488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619C8F2-7A2F-49E3-BBC1-01343540DD0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4643"/>
        <a:stretch/>
      </xdr:blipFill>
      <xdr:spPr bwMode="auto">
        <a:xfrm>
          <a:off x="7013381" y="1209676"/>
          <a:ext cx="854270" cy="881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466726</xdr:colOff>
      <xdr:row>13</xdr:row>
      <xdr:rowOff>9525</xdr:rowOff>
    </xdr:from>
    <xdr:to>
      <xdr:col>6</xdr:col>
      <xdr:colOff>676275</xdr:colOff>
      <xdr:row>14</xdr:row>
      <xdr:rowOff>66675</xdr:rowOff>
    </xdr:to>
    <xdr:sp macro="[0]!BORRA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24376" y="3162300"/>
          <a:ext cx="1076324" cy="3048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/>
            <a:t>BORRAR</a:t>
          </a:r>
        </a:p>
      </xdr:txBody>
    </xdr:sp>
    <xdr:clientData/>
  </xdr:twoCellAnchor>
  <xdr:twoCellAnchor editAs="oneCell">
    <xdr:from>
      <xdr:col>4</xdr:col>
      <xdr:colOff>323850</xdr:colOff>
      <xdr:row>5</xdr:row>
      <xdr:rowOff>66676</xdr:rowOff>
    </xdr:from>
    <xdr:to>
      <xdr:col>5</xdr:col>
      <xdr:colOff>647701</xdr:colOff>
      <xdr:row>7</xdr:row>
      <xdr:rowOff>85725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619C8F2-7A2F-49E3-BBC1-01343540DD0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57" r="-1979"/>
        <a:stretch/>
      </xdr:blipFill>
      <xdr:spPr bwMode="auto">
        <a:xfrm>
          <a:off x="3400425" y="1219201"/>
          <a:ext cx="1419226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400050</xdr:colOff>
      <xdr:row>11</xdr:row>
      <xdr:rowOff>190500</xdr:rowOff>
    </xdr:from>
    <xdr:to>
      <xdr:col>6</xdr:col>
      <xdr:colOff>742950</xdr:colOff>
      <xdr:row>12</xdr:row>
      <xdr:rowOff>438150</xdr:rowOff>
    </xdr:to>
    <xdr:sp macro="[0]!iNICIAR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457700" y="2571750"/>
          <a:ext cx="1238250" cy="4476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400"/>
            <a:t>INICIAR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a3" displayName="Tabla3" ref="A2:F9" totalsRowCount="1" headerRowDxfId="15" headerRowBorderDxfId="14" tableBorderDxfId="13" totalsRowBorderDxfId="12">
  <autoFilter ref="A2:F8"/>
  <sortState ref="A3:F8">
    <sortCondition ref="A2:A8"/>
  </sortState>
  <tableColumns count="6">
    <tableColumn id="1" name="MATERIA " totalsRowLabel="Total" dataDxfId="11" totalsRowDxfId="10"/>
    <tableColumn id="2" name="1ER PARCIAL " dataDxfId="9" totalsRowDxfId="8"/>
    <tableColumn id="3" name="2DO PARCIAL " dataDxfId="7" totalsRowDxfId="6">
      <calculatedColumnFormula>Tabla3[[#This Row],[1ER PARCIAL ]]</calculatedColumnFormula>
    </tableColumn>
    <tableColumn id="6" name="EXAMEN FINAL" dataDxfId="5" totalsRowDxfId="4"/>
    <tableColumn id="5" name="BANNER" totalsRowFunction="custom" dataDxfId="3" totalsRowDxfId="2">
      <calculatedColumnFormula>((Tabla3[[#This Row],[1ER PARCIAL ]]*0.3)+(Tabla3[[#This Row],[2DO PARCIAL ]]*0.35)+Tabla3[[#This Row],[EXAMEN FINAL]]*(0.35))</calculatedColumnFormula>
      <totalsRowFormula>AVERAGE(Tabla3[BANNER])</totalsRowFormula>
    </tableColumn>
    <tableColumn id="4" name="NOTA NECESARIA" dataDxfId="1" totalsRowDxfId="0">
      <calculatedColumnFormula>-((Tabla3[[#This Row],[1ER PARCIAL ]]*0.3)+(Tabla3[[#This Row],[2DO PARCIAL ]]*0.35)-14)*20/7</calculatedColumnFormula>
    </tableColumn>
  </tableColumns>
  <tableStyleInfo name="TableStyleMedium16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4:J16"/>
  <sheetViews>
    <sheetView tabSelected="1" workbookViewId="0">
      <selection activeCell="G12" sqref="G12"/>
    </sheetView>
  </sheetViews>
  <sheetFormatPr baseColWidth="10" defaultColWidth="10.77734375" defaultRowHeight="14.4" x14ac:dyDescent="0.3"/>
  <cols>
    <col min="2" max="2" width="6.33203125" customWidth="1"/>
    <col min="3" max="3" width="14.6640625" style="6" bestFit="1" customWidth="1"/>
    <col min="4" max="4" width="14.88671875" style="6" customWidth="1"/>
    <col min="5" max="5" width="16.44140625" style="6" customWidth="1"/>
    <col min="6" max="6" width="13.44140625" style="6" customWidth="1"/>
    <col min="7" max="7" width="14.6640625" style="6" bestFit="1" customWidth="1"/>
    <col min="8" max="8" width="13.6640625" style="6" customWidth="1"/>
    <col min="9" max="9" width="14.6640625" style="6" customWidth="1"/>
  </cols>
  <sheetData>
    <row r="4" spans="3:10" x14ac:dyDescent="0.3">
      <c r="C4" s="5"/>
    </row>
    <row r="5" spans="3:10" ht="15" thickBot="1" x14ac:dyDescent="0.35"/>
    <row r="6" spans="3:10" ht="21" x14ac:dyDescent="0.3">
      <c r="C6" s="16"/>
      <c r="D6" s="44"/>
      <c r="E6" s="44"/>
      <c r="F6" s="44"/>
      <c r="G6" s="44"/>
      <c r="H6" s="17"/>
      <c r="I6" s="18"/>
    </row>
    <row r="7" spans="3:10" x14ac:dyDescent="0.3">
      <c r="C7" s="19"/>
      <c r="D7" s="45"/>
      <c r="E7" s="45"/>
      <c r="F7" s="45"/>
      <c r="G7" s="45"/>
      <c r="H7" s="20"/>
      <c r="I7" s="21"/>
    </row>
    <row r="8" spans="3:10" x14ac:dyDescent="0.3">
      <c r="C8" s="19"/>
      <c r="D8" s="20"/>
      <c r="E8" s="20"/>
      <c r="F8" s="20"/>
      <c r="G8" s="20"/>
      <c r="H8" s="20"/>
      <c r="I8" s="21"/>
    </row>
    <row r="9" spans="3:10" ht="15.6" x14ac:dyDescent="0.3">
      <c r="C9" s="46" t="s">
        <v>0</v>
      </c>
      <c r="D9" s="47"/>
      <c r="E9" s="47" t="s">
        <v>1</v>
      </c>
      <c r="F9" s="47"/>
      <c r="G9" s="48" t="s">
        <v>3</v>
      </c>
      <c r="H9" s="48"/>
      <c r="I9" s="29"/>
    </row>
    <row r="10" spans="3:10" x14ac:dyDescent="0.3">
      <c r="C10" s="10" t="s">
        <v>2</v>
      </c>
      <c r="D10" s="11" t="s">
        <v>7</v>
      </c>
      <c r="E10" s="14" t="s">
        <v>2</v>
      </c>
      <c r="F10" s="14" t="s">
        <v>6</v>
      </c>
      <c r="G10" s="7" t="s">
        <v>2</v>
      </c>
      <c r="H10" s="7" t="s">
        <v>6</v>
      </c>
      <c r="I10" s="29"/>
    </row>
    <row r="11" spans="3:10" x14ac:dyDescent="0.3">
      <c r="C11" s="12">
        <v>16.079999999999998</v>
      </c>
      <c r="D11" s="13">
        <f>C11*6/20</f>
        <v>4.8239999999999998</v>
      </c>
      <c r="E11" s="15">
        <v>12.83</v>
      </c>
      <c r="F11" s="15">
        <f>E11*7/20</f>
        <v>4.4904999999999999</v>
      </c>
      <c r="G11" s="8">
        <v>17</v>
      </c>
      <c r="H11" s="8">
        <f>G11*7/20</f>
        <v>5.95</v>
      </c>
      <c r="I11" s="29"/>
    </row>
    <row r="12" spans="3:10" ht="15" thickBot="1" x14ac:dyDescent="0.35">
      <c r="C12" s="22" t="s">
        <v>5</v>
      </c>
      <c r="D12" s="26"/>
      <c r="E12" s="27"/>
      <c r="F12" s="26"/>
      <c r="G12" s="27"/>
      <c r="H12" s="26"/>
      <c r="I12" s="28"/>
    </row>
    <row r="13" spans="3:10" ht="45" customHeight="1" thickBot="1" x14ac:dyDescent="0.35">
      <c r="C13" s="22"/>
      <c r="D13" s="49" t="s">
        <v>4</v>
      </c>
      <c r="E13" s="50"/>
      <c r="F13" s="51"/>
      <c r="G13" s="51"/>
      <c r="H13" s="52" t="s">
        <v>8</v>
      </c>
      <c r="I13" s="53"/>
      <c r="J13" s="1"/>
    </row>
    <row r="14" spans="3:10" ht="18.600000000000001" thickBot="1" x14ac:dyDescent="0.35">
      <c r="C14" s="22"/>
      <c r="D14" s="33">
        <f>D11+F11+H11</f>
        <v>15.264499999999998</v>
      </c>
      <c r="E14" s="34" t="str">
        <f>IF(D14&gt;=14,"APROBADO","REPROBADO")</f>
        <v>APROBADO</v>
      </c>
      <c r="F14" s="43"/>
      <c r="G14" s="43"/>
      <c r="H14" s="9" t="s">
        <v>9</v>
      </c>
      <c r="I14" s="2" t="s">
        <v>6</v>
      </c>
      <c r="J14" s="1"/>
    </row>
    <row r="15" spans="3:10" ht="18.600000000000001" thickBot="1" x14ac:dyDescent="0.35">
      <c r="C15" s="23"/>
      <c r="D15" s="30" t="s">
        <v>5</v>
      </c>
      <c r="E15" s="30" t="s">
        <v>5</v>
      </c>
      <c r="F15" s="30" t="s">
        <v>5</v>
      </c>
      <c r="G15" s="30" t="s">
        <v>5</v>
      </c>
      <c r="H15" s="3">
        <f>I15*20/7</f>
        <v>13.387142857142859</v>
      </c>
      <c r="I15" s="4">
        <f>14-D11-F11</f>
        <v>4.6855000000000002</v>
      </c>
    </row>
    <row r="16" spans="3:10" ht="18.600000000000001" thickBot="1" x14ac:dyDescent="0.35">
      <c r="C16" s="31" t="s">
        <v>10</v>
      </c>
      <c r="D16" s="32"/>
      <c r="E16" s="32"/>
      <c r="F16" s="32"/>
      <c r="G16" s="24"/>
      <c r="H16" s="25"/>
      <c r="I16" s="35" t="s">
        <v>11</v>
      </c>
    </row>
  </sheetData>
  <mergeCells count="9">
    <mergeCell ref="F14:G14"/>
    <mergeCell ref="D6:G6"/>
    <mergeCell ref="D7:G7"/>
    <mergeCell ref="C9:D9"/>
    <mergeCell ref="E9:F9"/>
    <mergeCell ref="G9:H9"/>
    <mergeCell ref="D13:E13"/>
    <mergeCell ref="F13:G13"/>
    <mergeCell ref="H13:I13"/>
  </mergeCell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9"/>
  <sheetViews>
    <sheetView workbookViewId="0">
      <selection activeCell="F3" sqref="F3"/>
    </sheetView>
  </sheetViews>
  <sheetFormatPr baseColWidth="10" defaultColWidth="10.77734375" defaultRowHeight="14.4" x14ac:dyDescent="0.3"/>
  <cols>
    <col min="1" max="1" width="27.44140625" bestFit="1" customWidth="1"/>
    <col min="2" max="2" width="14.6640625" bestFit="1" customWidth="1"/>
    <col min="3" max="3" width="15.33203125" bestFit="1" customWidth="1"/>
    <col min="4" max="4" width="18" bestFit="1" customWidth="1"/>
    <col min="5" max="5" width="10.77734375" bestFit="1" customWidth="1"/>
    <col min="6" max="6" width="18.77734375" bestFit="1" customWidth="1"/>
  </cols>
  <sheetData>
    <row r="1" spans="1:6" ht="18.600000000000001" thickBot="1" x14ac:dyDescent="0.4">
      <c r="A1" s="54" t="s">
        <v>12</v>
      </c>
      <c r="B1" s="55"/>
      <c r="C1" s="55"/>
      <c r="D1" s="55"/>
      <c r="E1" s="55"/>
      <c r="F1" s="56"/>
    </row>
    <row r="2" spans="1:6" x14ac:dyDescent="0.3">
      <c r="A2" s="36" t="s">
        <v>13</v>
      </c>
      <c r="B2" s="36" t="s">
        <v>14</v>
      </c>
      <c r="C2" s="36" t="s">
        <v>15</v>
      </c>
      <c r="D2" s="36" t="s">
        <v>25</v>
      </c>
      <c r="E2" s="36" t="s">
        <v>17</v>
      </c>
      <c r="F2" s="36" t="s">
        <v>16</v>
      </c>
    </row>
    <row r="3" spans="1:6" x14ac:dyDescent="0.3">
      <c r="A3" s="39" t="s">
        <v>20</v>
      </c>
      <c r="B3" s="37">
        <v>19.47</v>
      </c>
      <c r="C3" s="37">
        <v>19.2</v>
      </c>
      <c r="D3" s="37">
        <v>4.1100000000000003</v>
      </c>
      <c r="E3" s="37">
        <f>((Tabla3[[#This Row],[1ER PARCIAL ]]*0.3)+(Tabla3[[#This Row],[2DO PARCIAL ]]*0.35)+Tabla3[[#This Row],[EXAMEN FINAL]]*(0.35))</f>
        <v>13.999499999999999</v>
      </c>
      <c r="F3" s="37">
        <f>-((Tabla3[[#This Row],[1ER PARCIAL ]]*0.3)+(Tabla3[[#This Row],[2DO PARCIAL ]]*0.35)-14)*20/7</f>
        <v>4.1114285714285712</v>
      </c>
    </row>
    <row r="4" spans="1:6" x14ac:dyDescent="0.3">
      <c r="A4" s="39" t="s">
        <v>19</v>
      </c>
      <c r="B4" s="37">
        <v>18.8</v>
      </c>
      <c r="C4" s="37">
        <v>18</v>
      </c>
      <c r="D4" s="37">
        <v>16</v>
      </c>
      <c r="E4" s="37">
        <f>((Tabla3[[#This Row],[1ER PARCIAL ]]*0.3)+(Tabla3[[#This Row],[2DO PARCIAL ]]*0.35)+Tabla3[[#This Row],[EXAMEN FINAL]]*(0.35))</f>
        <v>17.54</v>
      </c>
      <c r="F4" s="37">
        <f>-((Tabla3[[#This Row],[1ER PARCIAL ]]*0.3)+(Tabla3[[#This Row],[2DO PARCIAL ]]*0.35)-14)*20/7</f>
        <v>5.885714285714287</v>
      </c>
    </row>
    <row r="5" spans="1:6" x14ac:dyDescent="0.3">
      <c r="A5" s="39" t="s">
        <v>21</v>
      </c>
      <c r="B5" s="37">
        <v>18.8</v>
      </c>
      <c r="C5" s="37">
        <v>19.7</v>
      </c>
      <c r="D5" s="37">
        <v>16</v>
      </c>
      <c r="E5" s="37">
        <f>((Tabla3[[#This Row],[1ER PARCIAL ]]*0.3)+(Tabla3[[#This Row],[2DO PARCIAL ]]*0.35)+Tabla3[[#This Row],[EXAMEN FINAL]]*(0.35))</f>
        <v>18.134999999999998</v>
      </c>
      <c r="F5" s="37">
        <f>-((Tabla3[[#This Row],[1ER PARCIAL ]]*0.3)+(Tabla3[[#This Row],[2DO PARCIAL ]]*0.35)-14)*20/7</f>
        <v>4.1857142857142851</v>
      </c>
    </row>
    <row r="6" spans="1:6" x14ac:dyDescent="0.3">
      <c r="A6" s="39" t="s">
        <v>22</v>
      </c>
      <c r="B6" s="37">
        <v>19.79</v>
      </c>
      <c r="C6" s="37">
        <v>19.3</v>
      </c>
      <c r="D6" s="37">
        <v>16</v>
      </c>
      <c r="E6" s="37">
        <f>((Tabla3[[#This Row],[1ER PARCIAL ]]*0.3)+(Tabla3[[#This Row],[2DO PARCIAL ]]*0.35)+Tabla3[[#This Row],[EXAMEN FINAL]]*(0.35))</f>
        <v>18.292000000000002</v>
      </c>
      <c r="F6" s="37">
        <f>-((Tabla3[[#This Row],[1ER PARCIAL ]]*0.3)+(Tabla3[[#This Row],[2DO PARCIAL ]]*0.35)-14)*20/7</f>
        <v>3.7371428571428567</v>
      </c>
    </row>
    <row r="7" spans="1:6" x14ac:dyDescent="0.3">
      <c r="A7" s="39" t="s">
        <v>23</v>
      </c>
      <c r="B7" s="37">
        <v>17.91</v>
      </c>
      <c r="C7" s="37">
        <f>Tabla3[[#This Row],[1ER PARCIAL ]]-0.8</f>
        <v>17.11</v>
      </c>
      <c r="D7" s="37">
        <v>16</v>
      </c>
      <c r="E7" s="37">
        <f>((Tabla3[[#This Row],[1ER PARCIAL ]]*0.3)+(Tabla3[[#This Row],[2DO PARCIAL ]]*0.35)+Tabla3[[#This Row],[EXAMEN FINAL]]*(0.35))</f>
        <v>16.961500000000001</v>
      </c>
      <c r="F7" s="37">
        <f>-((Tabla3[[#This Row],[1ER PARCIAL ]]*0.3)+(Tabla3[[#This Row],[2DO PARCIAL ]]*0.35)-14)*20/7</f>
        <v>7.53857142857143</v>
      </c>
    </row>
    <row r="8" spans="1:6" ht="15" thickBot="1" x14ac:dyDescent="0.35">
      <c r="A8" s="40" t="s">
        <v>24</v>
      </c>
      <c r="B8" s="38">
        <v>17.329999999999998</v>
      </c>
      <c r="C8" s="37">
        <v>18</v>
      </c>
      <c r="D8" s="37">
        <v>16</v>
      </c>
      <c r="E8" s="37">
        <f>((Tabla3[[#This Row],[1ER PARCIAL ]]*0.3)+(Tabla3[[#This Row],[2DO PARCIAL ]]*0.35)+Tabla3[[#This Row],[EXAMEN FINAL]]*(0.35))</f>
        <v>17.098999999999997</v>
      </c>
      <c r="F8" s="37">
        <f>-((Tabla3[[#This Row],[1ER PARCIAL ]]*0.3)+(Tabla3[[#This Row],[2DO PARCIAL ]]*0.35)-14)*20/7</f>
        <v>7.1457142857142895</v>
      </c>
    </row>
    <row r="9" spans="1:6" x14ac:dyDescent="0.3">
      <c r="A9" s="41" t="s">
        <v>18</v>
      </c>
      <c r="B9" s="42"/>
      <c r="C9" s="42"/>
      <c r="D9" s="42"/>
      <c r="E9" s="42">
        <f>AVERAGE(Tabla3[BANNER])</f>
        <v>17.004499999999997</v>
      </c>
      <c r="F9" s="42"/>
    </row>
  </sheetData>
  <mergeCells count="1">
    <mergeCell ref="A1:F1"/>
  </mergeCells>
  <pageMargins left="0.7" right="0.7" top="0.75" bottom="0.75" header="0.3" footer="0.3"/>
  <pageSetup paperSize="271"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macro notas</vt:lpstr>
      <vt:lpstr>4TO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Isaac</cp:lastModifiedBy>
  <dcterms:created xsi:type="dcterms:W3CDTF">2021-09-01T00:49:53Z</dcterms:created>
  <dcterms:modified xsi:type="dcterms:W3CDTF">2026-02-06T01:24:41Z</dcterms:modified>
</cp:coreProperties>
</file>